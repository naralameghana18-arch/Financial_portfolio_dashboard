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96a13fc672262b0e/Desktop/"/>
    </mc:Choice>
  </mc:AlternateContent>
  <xr:revisionPtr revIDLastSave="0" documentId="8_{0408E164-1E23-47CD-BF48-458567E254AD}" xr6:coauthVersionLast="47" xr6:coauthVersionMax="47" xr10:uidLastSave="{00000000-0000-0000-0000-000000000000}"/>
  <bookViews>
    <workbookView xWindow="-108" yWindow="-108" windowWidth="23256" windowHeight="12456" activeTab="2" xr2:uid="{B5572A53-30C8-49A8-AE18-A6D772670AE5}"/>
  </bookViews>
  <sheets>
    <sheet name="Portfolio data" sheetId="1" r:id="rId1"/>
    <sheet name="Pivot Analysis" sheetId="2" r:id="rId2"/>
    <sheet name="Dashboarding" sheetId="3" r:id="rId3"/>
  </sheets>
  <definedNames>
    <definedName name="Slicer_Sector">#N/A</definedName>
    <definedName name="Slicer_Stock_Name">#N/A</definedName>
  </definedNames>
  <calcPr calcId="191029"/>
  <pivotCaches>
    <pivotCache cacheId="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H2" i="1"/>
  <c r="I2" i="1" s="1"/>
  <c r="H3" i="1"/>
  <c r="H4" i="1"/>
  <c r="H5" i="1"/>
  <c r="H6" i="1"/>
  <c r="G2" i="1"/>
  <c r="G3" i="1"/>
  <c r="G4" i="1"/>
  <c r="G5" i="1"/>
  <c r="G6" i="1"/>
  <c r="B9" i="3" l="1"/>
  <c r="I6" i="1"/>
  <c r="J6" i="1" s="1"/>
  <c r="I4" i="1"/>
  <c r="J4" i="1" s="1"/>
  <c r="I5" i="1"/>
  <c r="J5" i="1" s="1"/>
  <c r="I3" i="1"/>
  <c r="J3" i="1" s="1"/>
  <c r="J2" i="1"/>
  <c r="M3" i="1"/>
  <c r="M4" i="1" l="1"/>
  <c r="M5" i="1" s="1"/>
</calcChain>
</file>

<file path=xl/sharedStrings.xml><?xml version="1.0" encoding="utf-8"?>
<sst xmlns="http://schemas.openxmlformats.org/spreadsheetml/2006/main" count="36" uniqueCount="24">
  <si>
    <t>Stock Name</t>
  </si>
  <si>
    <t>Sector</t>
  </si>
  <si>
    <t>Buy Date</t>
  </si>
  <si>
    <t>Buy price</t>
  </si>
  <si>
    <t>Quantity</t>
  </si>
  <si>
    <t>Current price</t>
  </si>
  <si>
    <t>Reliance</t>
  </si>
  <si>
    <t>TCS</t>
  </si>
  <si>
    <t>Infosys</t>
  </si>
  <si>
    <t>HDFC Bank</t>
  </si>
  <si>
    <t>ICICI Bank</t>
  </si>
  <si>
    <t>Energy</t>
  </si>
  <si>
    <t>IT</t>
  </si>
  <si>
    <t>Banking</t>
  </si>
  <si>
    <t>Investment Value</t>
  </si>
  <si>
    <t>Current Value</t>
  </si>
  <si>
    <t>Profit/Loss</t>
  </si>
  <si>
    <t>ROI %</t>
  </si>
  <si>
    <t>Total Investment</t>
  </si>
  <si>
    <t>Total Current Value</t>
  </si>
  <si>
    <t>Total Profit</t>
  </si>
  <si>
    <t>Overall ROI</t>
  </si>
  <si>
    <t>Grand Total</t>
  </si>
  <si>
    <t>FINANCIAL PORTFOLIO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</si>
</sst>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 #,##0.00"/>
  </numFmts>
  <fonts count="6"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8"/>
      <color theme="1"/>
      <name val="Calibri"/>
      <family val="2"/>
      <scheme val="minor"/>
    </font>
    <font>
      <sz val="16"/>
      <color theme="1"/>
      <name val="Calibri"/>
      <family val="2"/>
      <scheme val="minor"/>
    </font>
  </fonts>
  <fills count="6">
    <fill>
      <patternFill patternType="none"/>
    </fill>
    <fill>
      <patternFill patternType="gray125"/>
    </fill>
    <fill>
      <patternFill patternType="solid">
        <fgColor theme="2" tint="-0.249977111117893"/>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6" tint="0.59999389629810485"/>
        <bgColor indexed="64"/>
      </patternFill>
    </fill>
  </fills>
  <borders count="7">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0" fontId="2" fillId="2" borderId="0" xfId="0" applyFont="1" applyFill="1"/>
    <xf numFmtId="14" fontId="0" fillId="0" borderId="0" xfId="0" applyNumberFormat="1"/>
    <xf numFmtId="9" fontId="2" fillId="2" borderId="0" xfId="1" applyFont="1" applyFill="1"/>
    <xf numFmtId="9" fontId="0" fillId="0" borderId="0" xfId="1" applyFont="1"/>
    <xf numFmtId="0" fontId="3" fillId="3" borderId="1" xfId="0" applyFont="1" applyFill="1" applyBorder="1"/>
    <xf numFmtId="0" fontId="3" fillId="3" borderId="2" xfId="0" applyFont="1" applyFill="1" applyBorder="1"/>
    <xf numFmtId="0" fontId="3" fillId="3" borderId="3" xfId="0" applyFont="1" applyFill="1" applyBorder="1"/>
    <xf numFmtId="0" fontId="3" fillId="3" borderId="4" xfId="0" applyFont="1" applyFill="1" applyBorder="1"/>
    <xf numFmtId="0" fontId="3" fillId="3" borderId="5" xfId="0" applyFont="1" applyFill="1" applyBorder="1"/>
    <xf numFmtId="9" fontId="3" fillId="3" borderId="6" xfId="1" applyFont="1" applyFill="1" applyBorder="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center"/>
    </xf>
    <xf numFmtId="0" fontId="4" fillId="4" borderId="0" xfId="0" applyFont="1" applyFill="1" applyAlignment="1">
      <alignment horizontal="center"/>
    </xf>
    <xf numFmtId="0" fontId="5" fillId="4" borderId="0" xfId="0" applyFont="1" applyFill="1" applyAlignment="1">
      <alignment horizontal="center"/>
    </xf>
    <xf numFmtId="9" fontId="0" fillId="0" borderId="0" xfId="0" applyNumberFormat="1"/>
    <xf numFmtId="0" fontId="3" fillId="5" borderId="1" xfId="0" applyFont="1" applyFill="1" applyBorder="1"/>
    <xf numFmtId="0" fontId="3" fillId="5" borderId="2" xfId="0" applyFont="1" applyFill="1" applyBorder="1"/>
    <xf numFmtId="0" fontId="3" fillId="5" borderId="3" xfId="0" applyFont="1" applyFill="1" applyBorder="1"/>
    <xf numFmtId="0" fontId="3" fillId="5" borderId="4" xfId="0" applyFont="1" applyFill="1" applyBorder="1"/>
    <xf numFmtId="0" fontId="3" fillId="5" borderId="5" xfId="0" applyFont="1" applyFill="1" applyBorder="1"/>
    <xf numFmtId="9" fontId="3" fillId="5" borderId="6" xfId="1" applyFont="1" applyFill="1" applyBorder="1"/>
  </cellXfs>
  <cellStyles count="2">
    <cellStyle name="Normal" xfId="0" builtinId="0"/>
    <cellStyle name="Percent" xfId="1" builtinId="5"/>
  </cellStyles>
  <dxfs count="1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65" formatCode="&quot;₹&quot;\ #,##0.00"/>
    </dxf>
    <dxf>
      <numFmt numFmtId="0" formatCode="General"/>
    </dxf>
    <dxf>
      <numFmt numFmtId="0" formatCode="General"/>
    </dxf>
    <dxf>
      <numFmt numFmtId="0" formatCode="General"/>
    </dxf>
    <dxf>
      <numFmt numFmtId="19" formatCode="dd/mm/yyyy"/>
    </dxf>
    <dxf>
      <font>
        <b/>
        <i val="0"/>
        <strike val="0"/>
        <condense val="0"/>
        <extend val="0"/>
        <outline val="0"/>
        <shadow val="0"/>
        <u val="none"/>
        <vertAlign val="baseline"/>
        <sz val="11"/>
        <color theme="1"/>
        <name val="Calibri"/>
        <family val="2"/>
        <scheme val="minor"/>
      </font>
      <fill>
        <patternFill patternType="solid">
          <fgColor indexed="64"/>
          <bgColor theme="2"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[Financial_Portfolio_Dashboard.xlsx]Pivot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Sector</a:t>
            </a:r>
            <a:r>
              <a:rPr lang="en-IN" baseline="0"/>
              <a:t>-wise Investment</a:t>
            </a:r>
            <a:endParaRPr lang="en-IN"/>
          </a:p>
        </c:rich>
      </c:tx>
      <c:layout>
        <c:manualLayout>
          <c:xMode val="edge"/>
          <c:yMode val="edge"/>
          <c:x val="0.30626406868632944"/>
          <c:y val="0.1178294225347366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c:f>
              <c:strCache>
                <c:ptCount val="1"/>
                <c:pt idx="0">
                  <c:v>Total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Analysis'!$A$4:$A$7</c:f>
              <c:strCache>
                <c:ptCount val="3"/>
                <c:pt idx="0">
                  <c:v>Energy</c:v>
                </c:pt>
                <c:pt idx="1">
                  <c:v>Banking</c:v>
                </c:pt>
                <c:pt idx="2">
                  <c:v>IT</c:v>
                </c:pt>
              </c:strCache>
            </c:strRef>
          </c:cat>
          <c:val>
            <c:numRef>
              <c:f>'Pivot Analysis'!$B$4:$B$7</c:f>
              <c:numCache>
                <c:formatCode>"₹"\ #,##0.00</c:formatCode>
                <c:ptCount val="3"/>
                <c:pt idx="0">
                  <c:v>3000</c:v>
                </c:pt>
                <c:pt idx="1">
                  <c:v>1200</c:v>
                </c:pt>
                <c:pt idx="2">
                  <c:v>600</c:v>
                </c:pt>
              </c:numCache>
            </c:numRef>
          </c:val>
          <c:extLst>
            <c:ext xmlns:c16="http://schemas.microsoft.com/office/drawing/2014/chart" uri="{C3380CC4-5D6E-409C-BE32-E72D297353CC}">
              <c16:uniqueId val="{00000000-00A8-4C1B-82DC-ADB199274709}"/>
            </c:ext>
          </c:extLst>
        </c:ser>
        <c:ser>
          <c:idx val="1"/>
          <c:order val="1"/>
          <c:tx>
            <c:strRef>
              <c:f>'Pivot Analysis'!$C$3</c:f>
              <c:strCache>
                <c:ptCount val="1"/>
                <c:pt idx="0">
                  <c:v>Total Investment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Analysis'!$A$4:$A$7</c:f>
              <c:strCache>
                <c:ptCount val="3"/>
                <c:pt idx="0">
                  <c:v>Energy</c:v>
                </c:pt>
                <c:pt idx="1">
                  <c:v>Banking</c:v>
                </c:pt>
                <c:pt idx="2">
                  <c:v>IT</c:v>
                </c:pt>
              </c:strCache>
            </c:strRef>
          </c:cat>
          <c:val>
            <c:numRef>
              <c:f>'Pivot Analysis'!$C$4:$C$7</c:f>
              <c:numCache>
                <c:formatCode>"₹"\ #,##0.00</c:formatCode>
                <c:ptCount val="3"/>
                <c:pt idx="0">
                  <c:v>25000</c:v>
                </c:pt>
                <c:pt idx="1">
                  <c:v>20400</c:v>
                </c:pt>
                <c:pt idx="2">
                  <c:v>29500</c:v>
                </c:pt>
              </c:numCache>
            </c:numRef>
          </c:val>
          <c:extLst>
            <c:ext xmlns:c16="http://schemas.microsoft.com/office/drawing/2014/chart" uri="{C3380CC4-5D6E-409C-BE32-E72D297353CC}">
              <c16:uniqueId val="{00000001-00A8-4C1B-82DC-ADB199274709}"/>
            </c:ext>
          </c:extLst>
        </c:ser>
        <c:dLbls>
          <c:dLblPos val="outEnd"/>
          <c:showLegendKey val="0"/>
          <c:showVal val="1"/>
          <c:showCatName val="0"/>
          <c:showSerName val="0"/>
          <c:showPercent val="0"/>
          <c:showBubbleSize val="0"/>
        </c:dLbls>
        <c:gapWidth val="219"/>
        <c:overlap val="-27"/>
        <c:axId val="800586720"/>
        <c:axId val="800572800"/>
      </c:barChart>
      <c:catAx>
        <c:axId val="800586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572800"/>
        <c:crosses val="autoZero"/>
        <c:auto val="1"/>
        <c:lblAlgn val="ctr"/>
        <c:lblOffset val="100"/>
        <c:noMultiLvlLbl val="0"/>
      </c:catAx>
      <c:valAx>
        <c:axId val="800572800"/>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586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[Financial_Portfolio_Dashboard.xlsx]Pivot 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Sector-wise</a:t>
            </a:r>
            <a:r>
              <a:rPr lang="en-IN" baseline="0"/>
              <a:t>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c:f>
              <c:strCache>
                <c:ptCount val="1"/>
                <c:pt idx="0">
                  <c:v>Total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Analysis'!$A$4:$A$7</c:f>
              <c:strCache>
                <c:ptCount val="3"/>
                <c:pt idx="0">
                  <c:v>Energy</c:v>
                </c:pt>
                <c:pt idx="1">
                  <c:v>Banking</c:v>
                </c:pt>
                <c:pt idx="2">
                  <c:v>IT</c:v>
                </c:pt>
              </c:strCache>
            </c:strRef>
          </c:cat>
          <c:val>
            <c:numRef>
              <c:f>'Pivot Analysis'!$B$4:$B$7</c:f>
              <c:numCache>
                <c:formatCode>"₹"\ #,##0.00</c:formatCode>
                <c:ptCount val="3"/>
                <c:pt idx="0">
                  <c:v>3000</c:v>
                </c:pt>
                <c:pt idx="1">
                  <c:v>1200</c:v>
                </c:pt>
                <c:pt idx="2">
                  <c:v>600</c:v>
                </c:pt>
              </c:numCache>
            </c:numRef>
          </c:val>
          <c:extLst>
            <c:ext xmlns:c16="http://schemas.microsoft.com/office/drawing/2014/chart" uri="{C3380CC4-5D6E-409C-BE32-E72D297353CC}">
              <c16:uniqueId val="{00000000-EEB5-48CC-A936-A658445C296F}"/>
            </c:ext>
          </c:extLst>
        </c:ser>
        <c:ser>
          <c:idx val="1"/>
          <c:order val="1"/>
          <c:tx>
            <c:strRef>
              <c:f>'Pivot Analysis'!$C$3</c:f>
              <c:strCache>
                <c:ptCount val="1"/>
                <c:pt idx="0">
                  <c:v>Total Investment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Analysis'!$A$4:$A$7</c:f>
              <c:strCache>
                <c:ptCount val="3"/>
                <c:pt idx="0">
                  <c:v>Energy</c:v>
                </c:pt>
                <c:pt idx="1">
                  <c:v>Banking</c:v>
                </c:pt>
                <c:pt idx="2">
                  <c:v>IT</c:v>
                </c:pt>
              </c:strCache>
            </c:strRef>
          </c:cat>
          <c:val>
            <c:numRef>
              <c:f>'Pivot Analysis'!$C$4:$C$7</c:f>
              <c:numCache>
                <c:formatCode>"₹"\ #,##0.00</c:formatCode>
                <c:ptCount val="3"/>
                <c:pt idx="0">
                  <c:v>25000</c:v>
                </c:pt>
                <c:pt idx="1">
                  <c:v>20400</c:v>
                </c:pt>
                <c:pt idx="2">
                  <c:v>29500</c:v>
                </c:pt>
              </c:numCache>
            </c:numRef>
          </c:val>
          <c:extLst>
            <c:ext xmlns:c16="http://schemas.microsoft.com/office/drawing/2014/chart" uri="{C3380CC4-5D6E-409C-BE32-E72D297353CC}">
              <c16:uniqueId val="{00000001-EEB5-48CC-A936-A658445C296F}"/>
            </c:ext>
          </c:extLst>
        </c:ser>
        <c:dLbls>
          <c:dLblPos val="outEnd"/>
          <c:showLegendKey val="0"/>
          <c:showVal val="1"/>
          <c:showCatName val="0"/>
          <c:showSerName val="0"/>
          <c:showPercent val="0"/>
          <c:showBubbleSize val="0"/>
        </c:dLbls>
        <c:gapWidth val="219"/>
        <c:overlap val="-27"/>
        <c:axId val="1024812768"/>
        <c:axId val="1024816128"/>
      </c:barChart>
      <c:catAx>
        <c:axId val="1024812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816128"/>
        <c:crosses val="autoZero"/>
        <c:auto val="1"/>
        <c:lblAlgn val="ctr"/>
        <c:lblOffset val="100"/>
        <c:noMultiLvlLbl val="0"/>
      </c:catAx>
      <c:valAx>
        <c:axId val="1024816128"/>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812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[Financial_Portfolio_Dashboard.xlsx]Pivot 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Investment</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Analysis'!$B$3</c:f>
              <c:strCache>
                <c:ptCount val="1"/>
                <c:pt idx="0">
                  <c:v>Total Profit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Analysis'!$A$4:$A$7</c:f>
              <c:strCache>
                <c:ptCount val="3"/>
                <c:pt idx="0">
                  <c:v>Energy</c:v>
                </c:pt>
                <c:pt idx="1">
                  <c:v>Banking</c:v>
                </c:pt>
                <c:pt idx="2">
                  <c:v>IT</c:v>
                </c:pt>
              </c:strCache>
            </c:strRef>
          </c:cat>
          <c:val>
            <c:numRef>
              <c:f>'Pivot Analysis'!$B$4:$B$7</c:f>
              <c:numCache>
                <c:formatCode>"₹"\ #,##0.00</c:formatCode>
                <c:ptCount val="3"/>
                <c:pt idx="0">
                  <c:v>3000</c:v>
                </c:pt>
                <c:pt idx="1">
                  <c:v>1200</c:v>
                </c:pt>
                <c:pt idx="2">
                  <c:v>600</c:v>
                </c:pt>
              </c:numCache>
            </c:numRef>
          </c:val>
          <c:extLst>
            <c:ext xmlns:c16="http://schemas.microsoft.com/office/drawing/2014/chart" uri="{C3380CC4-5D6E-409C-BE32-E72D297353CC}">
              <c16:uniqueId val="{00000000-202D-4E85-83FE-BB50A99CB208}"/>
            </c:ext>
          </c:extLst>
        </c:ser>
        <c:ser>
          <c:idx val="1"/>
          <c:order val="1"/>
          <c:tx>
            <c:strRef>
              <c:f>'Pivot Analysis'!$C$3</c:f>
              <c:strCache>
                <c:ptCount val="1"/>
                <c:pt idx="0">
                  <c:v>Total Investment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Analysis'!$A$4:$A$7</c:f>
              <c:strCache>
                <c:ptCount val="3"/>
                <c:pt idx="0">
                  <c:v>Energy</c:v>
                </c:pt>
                <c:pt idx="1">
                  <c:v>Banking</c:v>
                </c:pt>
                <c:pt idx="2">
                  <c:v>IT</c:v>
                </c:pt>
              </c:strCache>
            </c:strRef>
          </c:cat>
          <c:val>
            <c:numRef>
              <c:f>'Pivot Analysis'!$C$4:$C$7</c:f>
              <c:numCache>
                <c:formatCode>"₹"\ #,##0.00</c:formatCode>
                <c:ptCount val="3"/>
                <c:pt idx="0">
                  <c:v>25000</c:v>
                </c:pt>
                <c:pt idx="1">
                  <c:v>20400</c:v>
                </c:pt>
                <c:pt idx="2">
                  <c:v>29500</c:v>
                </c:pt>
              </c:numCache>
            </c:numRef>
          </c:val>
          <c:extLst>
            <c:ext xmlns:c16="http://schemas.microsoft.com/office/drawing/2014/chart" uri="{C3380CC4-5D6E-409C-BE32-E72D297353CC}">
              <c16:uniqueId val="{00000001-202D-4E85-83FE-BB50A99CB20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[Financial_Portfolio_Dashboard.xlsx]Pivot Analysis!PivotTable1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SECTOR-WISE</a:t>
            </a:r>
            <a:r>
              <a:rPr lang="en-IN" baseline="0"/>
              <a:t> INVESTMENT</a:t>
            </a:r>
            <a:endParaRPr lang="en-IN"/>
          </a:p>
        </c:rich>
      </c:tx>
      <c:layout>
        <c:manualLayout>
          <c:xMode val="edge"/>
          <c:yMode val="edge"/>
          <c:x val="0.15474910394265232"/>
          <c:y val="0.1019940648749072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c:f>
              <c:strCache>
                <c:ptCount val="1"/>
                <c:pt idx="0">
                  <c:v>Total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Analysis'!$A$4:$A$7</c:f>
              <c:strCache>
                <c:ptCount val="3"/>
                <c:pt idx="0">
                  <c:v>Energy</c:v>
                </c:pt>
                <c:pt idx="1">
                  <c:v>Banking</c:v>
                </c:pt>
                <c:pt idx="2">
                  <c:v>IT</c:v>
                </c:pt>
              </c:strCache>
            </c:strRef>
          </c:cat>
          <c:val>
            <c:numRef>
              <c:f>'Pivot Analysis'!$B$4:$B$7</c:f>
              <c:numCache>
                <c:formatCode>"₹"\ #,##0.00</c:formatCode>
                <c:ptCount val="3"/>
                <c:pt idx="0">
                  <c:v>3000</c:v>
                </c:pt>
                <c:pt idx="1">
                  <c:v>1200</c:v>
                </c:pt>
                <c:pt idx="2">
                  <c:v>600</c:v>
                </c:pt>
              </c:numCache>
            </c:numRef>
          </c:val>
          <c:extLst>
            <c:ext xmlns:c16="http://schemas.microsoft.com/office/drawing/2014/chart" uri="{C3380CC4-5D6E-409C-BE32-E72D297353CC}">
              <c16:uniqueId val="{00000000-448E-47D5-A820-F14EF55D8182}"/>
            </c:ext>
          </c:extLst>
        </c:ser>
        <c:ser>
          <c:idx val="1"/>
          <c:order val="1"/>
          <c:tx>
            <c:strRef>
              <c:f>'Pivot Analysis'!$C$3</c:f>
              <c:strCache>
                <c:ptCount val="1"/>
                <c:pt idx="0">
                  <c:v>Total Investment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Analysis'!$A$4:$A$7</c:f>
              <c:strCache>
                <c:ptCount val="3"/>
                <c:pt idx="0">
                  <c:v>Energy</c:v>
                </c:pt>
                <c:pt idx="1">
                  <c:v>Banking</c:v>
                </c:pt>
                <c:pt idx="2">
                  <c:v>IT</c:v>
                </c:pt>
              </c:strCache>
            </c:strRef>
          </c:cat>
          <c:val>
            <c:numRef>
              <c:f>'Pivot Analysis'!$C$4:$C$7</c:f>
              <c:numCache>
                <c:formatCode>"₹"\ #,##0.00</c:formatCode>
                <c:ptCount val="3"/>
                <c:pt idx="0">
                  <c:v>25000</c:v>
                </c:pt>
                <c:pt idx="1">
                  <c:v>20400</c:v>
                </c:pt>
                <c:pt idx="2">
                  <c:v>29500</c:v>
                </c:pt>
              </c:numCache>
            </c:numRef>
          </c:val>
          <c:extLst>
            <c:ext xmlns:c16="http://schemas.microsoft.com/office/drawing/2014/chart" uri="{C3380CC4-5D6E-409C-BE32-E72D297353CC}">
              <c16:uniqueId val="{00000001-448E-47D5-A820-F14EF55D8182}"/>
            </c:ext>
          </c:extLst>
        </c:ser>
        <c:dLbls>
          <c:dLblPos val="outEnd"/>
          <c:showLegendKey val="0"/>
          <c:showVal val="1"/>
          <c:showCatName val="0"/>
          <c:showSerName val="0"/>
          <c:showPercent val="0"/>
          <c:showBubbleSize val="0"/>
        </c:dLbls>
        <c:gapWidth val="219"/>
        <c:overlap val="-27"/>
        <c:axId val="800586720"/>
        <c:axId val="800572800"/>
      </c:barChart>
      <c:catAx>
        <c:axId val="800586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572800"/>
        <c:crosses val="autoZero"/>
        <c:auto val="1"/>
        <c:lblAlgn val="ctr"/>
        <c:lblOffset val="100"/>
        <c:noMultiLvlLbl val="0"/>
      </c:catAx>
      <c:valAx>
        <c:axId val="800572800"/>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586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[Financial_Portfolio_Dashboard.xlsx]Pivot Analysis!PivotTable1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SECTOR-WISE</a:t>
            </a:r>
            <a:r>
              <a:rPr lang="en-IN" baseline="0"/>
              <a:t>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c:f>
              <c:strCache>
                <c:ptCount val="1"/>
                <c:pt idx="0">
                  <c:v>Total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Analysis'!$A$4:$A$7</c:f>
              <c:strCache>
                <c:ptCount val="3"/>
                <c:pt idx="0">
                  <c:v>Energy</c:v>
                </c:pt>
                <c:pt idx="1">
                  <c:v>Banking</c:v>
                </c:pt>
                <c:pt idx="2">
                  <c:v>IT</c:v>
                </c:pt>
              </c:strCache>
            </c:strRef>
          </c:cat>
          <c:val>
            <c:numRef>
              <c:f>'Pivot Analysis'!$B$4:$B$7</c:f>
              <c:numCache>
                <c:formatCode>"₹"\ #,##0.00</c:formatCode>
                <c:ptCount val="3"/>
                <c:pt idx="0">
                  <c:v>3000</c:v>
                </c:pt>
                <c:pt idx="1">
                  <c:v>1200</c:v>
                </c:pt>
                <c:pt idx="2">
                  <c:v>600</c:v>
                </c:pt>
              </c:numCache>
            </c:numRef>
          </c:val>
          <c:extLst>
            <c:ext xmlns:c16="http://schemas.microsoft.com/office/drawing/2014/chart" uri="{C3380CC4-5D6E-409C-BE32-E72D297353CC}">
              <c16:uniqueId val="{00000000-2796-4143-B8AC-FA3B279AE643}"/>
            </c:ext>
          </c:extLst>
        </c:ser>
        <c:ser>
          <c:idx val="1"/>
          <c:order val="1"/>
          <c:tx>
            <c:strRef>
              <c:f>'Pivot Analysis'!$C$3</c:f>
              <c:strCache>
                <c:ptCount val="1"/>
                <c:pt idx="0">
                  <c:v>Total Investment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Analysis'!$A$4:$A$7</c:f>
              <c:strCache>
                <c:ptCount val="3"/>
                <c:pt idx="0">
                  <c:v>Energy</c:v>
                </c:pt>
                <c:pt idx="1">
                  <c:v>Banking</c:v>
                </c:pt>
                <c:pt idx="2">
                  <c:v>IT</c:v>
                </c:pt>
              </c:strCache>
            </c:strRef>
          </c:cat>
          <c:val>
            <c:numRef>
              <c:f>'Pivot Analysis'!$C$4:$C$7</c:f>
              <c:numCache>
                <c:formatCode>"₹"\ #,##0.00</c:formatCode>
                <c:ptCount val="3"/>
                <c:pt idx="0">
                  <c:v>25000</c:v>
                </c:pt>
                <c:pt idx="1">
                  <c:v>20400</c:v>
                </c:pt>
                <c:pt idx="2">
                  <c:v>29500</c:v>
                </c:pt>
              </c:numCache>
            </c:numRef>
          </c:val>
          <c:extLst>
            <c:ext xmlns:c16="http://schemas.microsoft.com/office/drawing/2014/chart" uri="{C3380CC4-5D6E-409C-BE32-E72D297353CC}">
              <c16:uniqueId val="{00000001-2796-4143-B8AC-FA3B279AE643}"/>
            </c:ext>
          </c:extLst>
        </c:ser>
        <c:dLbls>
          <c:dLblPos val="outEnd"/>
          <c:showLegendKey val="0"/>
          <c:showVal val="1"/>
          <c:showCatName val="0"/>
          <c:showSerName val="0"/>
          <c:showPercent val="0"/>
          <c:showBubbleSize val="0"/>
        </c:dLbls>
        <c:gapWidth val="219"/>
        <c:overlap val="-27"/>
        <c:axId val="1024812768"/>
        <c:axId val="1024816128"/>
      </c:barChart>
      <c:catAx>
        <c:axId val="1024812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816128"/>
        <c:crosses val="autoZero"/>
        <c:auto val="1"/>
        <c:lblAlgn val="ctr"/>
        <c:lblOffset val="100"/>
        <c:noMultiLvlLbl val="0"/>
      </c:catAx>
      <c:valAx>
        <c:axId val="1024816128"/>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812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[Financial_Portfolio_Dashboard.xlsx]Pivot Analysis!PivotTable1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INVESTMENT</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 Analysis'!$B$3</c:f>
              <c:strCache>
                <c:ptCount val="1"/>
                <c:pt idx="0">
                  <c:v>Total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55-475B-9947-81FF933192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55-475B-9947-81FF933192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55-475B-9947-81FF933192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Analysis'!$A$4:$A$7</c:f>
              <c:strCache>
                <c:ptCount val="3"/>
                <c:pt idx="0">
                  <c:v>Energy</c:v>
                </c:pt>
                <c:pt idx="1">
                  <c:v>Banking</c:v>
                </c:pt>
                <c:pt idx="2">
                  <c:v>IT</c:v>
                </c:pt>
              </c:strCache>
            </c:strRef>
          </c:cat>
          <c:val>
            <c:numRef>
              <c:f>'Pivot Analysis'!$B$4:$B$7</c:f>
              <c:numCache>
                <c:formatCode>"₹"\ #,##0.00</c:formatCode>
                <c:ptCount val="3"/>
                <c:pt idx="0">
                  <c:v>3000</c:v>
                </c:pt>
                <c:pt idx="1">
                  <c:v>1200</c:v>
                </c:pt>
                <c:pt idx="2">
                  <c:v>600</c:v>
                </c:pt>
              </c:numCache>
            </c:numRef>
          </c:val>
          <c:extLst>
            <c:ext xmlns:c16="http://schemas.microsoft.com/office/drawing/2014/chart" uri="{C3380CC4-5D6E-409C-BE32-E72D297353CC}">
              <c16:uniqueId val="{00000006-7A55-475B-9947-81FF933192FE}"/>
            </c:ext>
          </c:extLst>
        </c:ser>
        <c:ser>
          <c:idx val="1"/>
          <c:order val="1"/>
          <c:tx>
            <c:strRef>
              <c:f>'Pivot Analysis'!$C$3</c:f>
              <c:strCache>
                <c:ptCount val="1"/>
                <c:pt idx="0">
                  <c:v>Total Investment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7A55-475B-9947-81FF933192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7A55-475B-9947-81FF933192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7A55-475B-9947-81FF933192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Analysis'!$A$4:$A$7</c:f>
              <c:strCache>
                <c:ptCount val="3"/>
                <c:pt idx="0">
                  <c:v>Energy</c:v>
                </c:pt>
                <c:pt idx="1">
                  <c:v>Banking</c:v>
                </c:pt>
                <c:pt idx="2">
                  <c:v>IT</c:v>
                </c:pt>
              </c:strCache>
            </c:strRef>
          </c:cat>
          <c:val>
            <c:numRef>
              <c:f>'Pivot Analysis'!$C$4:$C$7</c:f>
              <c:numCache>
                <c:formatCode>"₹"\ #,##0.00</c:formatCode>
                <c:ptCount val="3"/>
                <c:pt idx="0">
                  <c:v>25000</c:v>
                </c:pt>
                <c:pt idx="1">
                  <c:v>20400</c:v>
                </c:pt>
                <c:pt idx="2">
                  <c:v>29500</c:v>
                </c:pt>
              </c:numCache>
            </c:numRef>
          </c:val>
          <c:extLst>
            <c:ext xmlns:c16="http://schemas.microsoft.com/office/drawing/2014/chart" uri="{C3380CC4-5D6E-409C-BE32-E72D297353CC}">
              <c16:uniqueId val="{0000000D-7A55-475B-9947-81FF933192F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182880</xdr:colOff>
      <xdr:row>1</xdr:row>
      <xdr:rowOff>175260</xdr:rowOff>
    </xdr:from>
    <xdr:to>
      <xdr:col>10</xdr:col>
      <xdr:colOff>411480</xdr:colOff>
      <xdr:row>16</xdr:row>
      <xdr:rowOff>175260</xdr:rowOff>
    </xdr:to>
    <xdr:graphicFrame macro="">
      <xdr:nvGraphicFramePr>
        <xdr:cNvPr id="2" name="Chart 1">
          <a:extLst>
            <a:ext uri="{FF2B5EF4-FFF2-40B4-BE49-F238E27FC236}">
              <a16:creationId xmlns:a16="http://schemas.microsoft.com/office/drawing/2014/main" id="{00AA6FB3-2EA0-429A-7E72-1E7D105BC4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236220</xdr:colOff>
      <xdr:row>17</xdr:row>
      <xdr:rowOff>167640</xdr:rowOff>
    </xdr:from>
    <xdr:to>
      <xdr:col>10</xdr:col>
      <xdr:colOff>396240</xdr:colOff>
      <xdr:row>33</xdr:row>
      <xdr:rowOff>7620</xdr:rowOff>
    </xdr:to>
    <xdr:graphicFrame macro="">
      <xdr:nvGraphicFramePr>
        <xdr:cNvPr id="4" name="Chart 3">
          <a:extLst>
            <a:ext uri="{FF2B5EF4-FFF2-40B4-BE49-F238E27FC236}">
              <a16:creationId xmlns:a16="http://schemas.microsoft.com/office/drawing/2014/main" id="{A54A3B4A-1F68-3683-D71C-877AC4483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205740</xdr:colOff>
      <xdr:row>33</xdr:row>
      <xdr:rowOff>175260</xdr:rowOff>
    </xdr:from>
    <xdr:to>
      <xdr:col>10</xdr:col>
      <xdr:colOff>373380</xdr:colOff>
      <xdr:row>48</xdr:row>
      <xdr:rowOff>167640</xdr:rowOff>
    </xdr:to>
    <xdr:graphicFrame macro="">
      <xdr:nvGraphicFramePr>
        <xdr:cNvPr id="6" name="Chart 5">
          <a:extLst>
            <a:ext uri="{FF2B5EF4-FFF2-40B4-BE49-F238E27FC236}">
              <a16:creationId xmlns:a16="http://schemas.microsoft.com/office/drawing/2014/main" id="{1498EEBD-5CA6-9A27-BAC1-7C5C042BFD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7620</xdr:colOff>
      <xdr:row>2</xdr:row>
      <xdr:rowOff>15241</xdr:rowOff>
    </xdr:from>
    <xdr:to>
      <xdr:col>17</xdr:col>
      <xdr:colOff>7620</xdr:colOff>
      <xdr:row>10</xdr:row>
      <xdr:rowOff>7620</xdr:rowOff>
    </xdr:to>
    <mc:AlternateContent xmlns:mc="http://schemas.openxmlformats.org/markup-compatibility/2006">
      <mc:Choice xmlns:a14="http://schemas.microsoft.com/office/drawing/2010/main" Requires="a14">
        <xdr:graphicFrame macro="">
          <xdr:nvGraphicFramePr>
            <xdr:cNvPr id="7" name="Stock Name">
              <a:extLst>
                <a:ext uri="{FF2B5EF4-FFF2-40B4-BE49-F238E27FC236}">
                  <a16:creationId xmlns:a16="http://schemas.microsoft.com/office/drawing/2014/main" id="{362ED4A5-6E72-8638-ECA2-F80EAC65E3DA}"/>
                </a:ext>
              </a:extLst>
            </xdr:cNvPr>
            <xdr:cNvGraphicFramePr/>
          </xdr:nvGraphicFramePr>
          <xdr:xfrm>
            <a:off x="0" y="0"/>
            <a:ext cx="0" cy="0"/>
          </xdr:xfrm>
          <a:graphic>
            <a:graphicData uri="http://schemas.microsoft.com/office/drawing/2010/slicer">
              <sle:slicer xmlns:sle="http://schemas.microsoft.com/office/drawing/2010/slicer" name="Stock Name"/>
            </a:graphicData>
          </a:graphic>
        </xdr:graphicFrame>
      </mc:Choice>
      <mc:Fallback>
        <xdr:sp macro="" textlink="">
          <xdr:nvSpPr>
            <xdr:cNvPr id="0" name=""/>
            <xdr:cNvSpPr>
              <a:spLocks noTextEdit="1"/>
            </xdr:cNvSpPr>
          </xdr:nvSpPr>
          <xdr:spPr>
            <a:xfrm>
              <a:off x="9212580" y="381001"/>
              <a:ext cx="1828800" cy="1455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586740</xdr:colOff>
      <xdr:row>2</xdr:row>
      <xdr:rowOff>0</xdr:rowOff>
    </xdr:from>
    <xdr:to>
      <xdr:col>13</xdr:col>
      <xdr:colOff>586740</xdr:colOff>
      <xdr:row>10</xdr:row>
      <xdr:rowOff>60959</xdr:rowOff>
    </xdr:to>
    <mc:AlternateContent xmlns:mc="http://schemas.openxmlformats.org/markup-compatibility/2006">
      <mc:Choice xmlns:a14="http://schemas.microsoft.com/office/drawing/2010/main" Requires="a14">
        <xdr:graphicFrame macro="">
          <xdr:nvGraphicFramePr>
            <xdr:cNvPr id="8" name="Sector">
              <a:extLst>
                <a:ext uri="{FF2B5EF4-FFF2-40B4-BE49-F238E27FC236}">
                  <a16:creationId xmlns:a16="http://schemas.microsoft.com/office/drawing/2014/main" id="{A36AF9D1-FDAD-00BD-6D0E-3E90604F9391}"/>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dr:sp macro="" textlink="">
          <xdr:nvSpPr>
            <xdr:cNvPr id="0" name=""/>
            <xdr:cNvSpPr>
              <a:spLocks noTextEdit="1"/>
            </xdr:cNvSpPr>
          </xdr:nvSpPr>
          <xdr:spPr>
            <a:xfrm>
              <a:off x="7353300" y="365760"/>
              <a:ext cx="1828800" cy="1523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190500</xdr:colOff>
      <xdr:row>4</xdr:row>
      <xdr:rowOff>167640</xdr:rowOff>
    </xdr:from>
    <xdr:to>
      <xdr:col>7</xdr:col>
      <xdr:colOff>332062</xdr:colOff>
      <xdr:row>24</xdr:row>
      <xdr:rowOff>37015</xdr:rowOff>
    </xdr:to>
    <xdr:graphicFrame macro="">
      <xdr:nvGraphicFramePr>
        <xdr:cNvPr id="2" name="Chart 1">
          <a:extLst>
            <a:ext uri="{FF2B5EF4-FFF2-40B4-BE49-F238E27FC236}">
              <a16:creationId xmlns:a16="http://schemas.microsoft.com/office/drawing/2014/main" id="{60BFEF09-BD87-484C-9D0A-5FFAF7DC4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462563</xdr:colOff>
      <xdr:row>4</xdr:row>
      <xdr:rowOff>167640</xdr:rowOff>
    </xdr:from>
    <xdr:to>
      <xdr:col>12</xdr:col>
      <xdr:colOff>290142</xdr:colOff>
      <xdr:row>24</xdr:row>
      <xdr:rowOff>37015</xdr:rowOff>
    </xdr:to>
    <xdr:graphicFrame macro="">
      <xdr:nvGraphicFramePr>
        <xdr:cNvPr id="3" name="Chart 2">
          <a:extLst>
            <a:ext uri="{FF2B5EF4-FFF2-40B4-BE49-F238E27FC236}">
              <a16:creationId xmlns:a16="http://schemas.microsoft.com/office/drawing/2014/main" id="{A3729EBB-1ABD-4472-97FD-F1BB19262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382059</xdr:colOff>
      <xdr:row>4</xdr:row>
      <xdr:rowOff>148349</xdr:rowOff>
    </xdr:from>
    <xdr:to>
      <xdr:col>17</xdr:col>
      <xdr:colOff>206123</xdr:colOff>
      <xdr:row>24</xdr:row>
      <xdr:rowOff>17724</xdr:rowOff>
    </xdr:to>
    <xdr:graphicFrame macro="">
      <xdr:nvGraphicFramePr>
        <xdr:cNvPr id="4" name="Chart 3">
          <a:extLst>
            <a:ext uri="{FF2B5EF4-FFF2-40B4-BE49-F238E27FC236}">
              <a16:creationId xmlns:a16="http://schemas.microsoft.com/office/drawing/2014/main" id="{7EEFD737-679D-4B68-AEBD-E5CD6944B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334075</xdr:colOff>
      <xdr:row>4</xdr:row>
      <xdr:rowOff>176469</xdr:rowOff>
    </xdr:from>
    <xdr:to>
      <xdr:col>20</xdr:col>
      <xdr:colOff>310730</xdr:colOff>
      <xdr:row>12</xdr:row>
      <xdr:rowOff>31750</xdr:rowOff>
    </xdr:to>
    <mc:AlternateContent xmlns:mc="http://schemas.openxmlformats.org/markup-compatibility/2006">
      <mc:Choice xmlns:a14="http://schemas.microsoft.com/office/drawing/2010/main" Requires="a14">
        <xdr:graphicFrame macro="">
          <xdr:nvGraphicFramePr>
            <xdr:cNvPr id="5" name="Sector 1">
              <a:extLst>
                <a:ext uri="{FF2B5EF4-FFF2-40B4-BE49-F238E27FC236}">
                  <a16:creationId xmlns:a16="http://schemas.microsoft.com/office/drawing/2014/main" id="{95A27EA4-A170-498F-A91A-277AFD55F195}"/>
                </a:ext>
              </a:extLst>
            </xdr:cNvPr>
            <xdr:cNvGraphicFramePr/>
          </xdr:nvGraphicFramePr>
          <xdr:xfrm>
            <a:off x="0" y="0"/>
            <a:ext cx="0" cy="0"/>
          </xdr:xfrm>
          <a:graphic>
            <a:graphicData uri="http://schemas.microsoft.com/office/drawing/2010/slicer">
              <sle:slicer xmlns:sle="http://schemas.microsoft.com/office/drawing/2010/slicer" name="Sector 1"/>
            </a:graphicData>
          </a:graphic>
        </xdr:graphicFrame>
      </mc:Choice>
      <mc:Fallback>
        <xdr:sp macro="" textlink="">
          <xdr:nvSpPr>
            <xdr:cNvPr id="0" name=""/>
            <xdr:cNvSpPr>
              <a:spLocks noTextEdit="1"/>
            </xdr:cNvSpPr>
          </xdr:nvSpPr>
          <xdr:spPr>
            <a:xfrm>
              <a:off x="10934556" y="1025279"/>
              <a:ext cx="1799668" cy="1408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334665</xdr:colOff>
      <xdr:row>12</xdr:row>
      <xdr:rowOff>117354</xdr:rowOff>
    </xdr:from>
    <xdr:to>
      <xdr:col>20</xdr:col>
      <xdr:colOff>348573</xdr:colOff>
      <xdr:row>24</xdr:row>
      <xdr:rowOff>14167</xdr:rowOff>
    </xdr:to>
    <mc:AlternateContent xmlns:mc="http://schemas.openxmlformats.org/markup-compatibility/2006">
      <mc:Choice xmlns:a14="http://schemas.microsoft.com/office/drawing/2010/main" Requires="a14">
        <xdr:graphicFrame macro="">
          <xdr:nvGraphicFramePr>
            <xdr:cNvPr id="6" name="Stock Name 1">
              <a:extLst>
                <a:ext uri="{FF2B5EF4-FFF2-40B4-BE49-F238E27FC236}">
                  <a16:creationId xmlns:a16="http://schemas.microsoft.com/office/drawing/2014/main" id="{AC907E19-00F6-4EAF-A960-CB8E855A6093}"/>
                </a:ext>
              </a:extLst>
            </xdr:cNvPr>
            <xdr:cNvGraphicFramePr/>
          </xdr:nvGraphicFramePr>
          <xdr:xfrm>
            <a:off x="0" y="0"/>
            <a:ext cx="0" cy="0"/>
          </xdr:xfrm>
          <a:graphic>
            <a:graphicData uri="http://schemas.microsoft.com/office/drawing/2010/slicer">
              <sle:slicer xmlns:sle="http://schemas.microsoft.com/office/drawing/2010/slicer" name="Stock Name 1"/>
            </a:graphicData>
          </a:graphic>
        </xdr:graphicFrame>
      </mc:Choice>
      <mc:Fallback>
        <xdr:sp macro="" textlink="">
          <xdr:nvSpPr>
            <xdr:cNvPr id="0" name=""/>
            <xdr:cNvSpPr>
              <a:spLocks noTextEdit="1"/>
            </xdr:cNvSpPr>
          </xdr:nvSpPr>
          <xdr:spPr>
            <a:xfrm>
              <a:off x="10935146" y="2519101"/>
              <a:ext cx="1836921" cy="2096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hana" refreshedDate="46125.845057407409" createdVersion="8" refreshedVersion="8" minRefreshableVersion="3" recordCount="5" xr:uid="{3211F613-B0AD-4F49-AE74-218A48212CF2}">
  <cacheSource type="worksheet">
    <worksheetSource name="PortfolioTable"/>
  </cacheSource>
  <cacheFields count="10">
    <cacheField name="Stock Name" numFmtId="0">
      <sharedItems count="5">
        <s v="Reliance"/>
        <s v="TCS"/>
        <s v="Infosys"/>
        <s v="HDFC Bank"/>
        <s v="ICICI Bank"/>
      </sharedItems>
    </cacheField>
    <cacheField name="Sector" numFmtId="0">
      <sharedItems count="3">
        <s v="Energy"/>
        <s v="IT"/>
        <s v="Banking"/>
      </sharedItems>
    </cacheField>
    <cacheField name="Buy Date" numFmtId="14">
      <sharedItems containsSemiMixedTypes="0" containsNonDate="0" containsDate="1" containsString="0" minDate="2024-01-01T00:00:00" maxDate="2024-03-11T00:00:00"/>
    </cacheField>
    <cacheField name="Buy price" numFmtId="0">
      <sharedItems containsSemiMixedTypes="0" containsString="0" containsNumber="1" containsInteger="1" minValue="900" maxValue="3500"/>
    </cacheField>
    <cacheField name="Quantity" numFmtId="0">
      <sharedItems containsSemiMixedTypes="0" containsString="0" containsNumber="1" containsInteger="1" minValue="5" maxValue="12"/>
    </cacheField>
    <cacheField name="Current price" numFmtId="0">
      <sharedItems containsSemiMixedTypes="0" containsString="0" containsNumber="1" containsInteger="1" minValue="950" maxValue="3700"/>
    </cacheField>
    <cacheField name="Investment Value" numFmtId="0">
      <sharedItems containsSemiMixedTypes="0" containsString="0" containsNumber="1" containsInteger="1" minValue="9600" maxValue="25000"/>
    </cacheField>
    <cacheField name="Current Value" numFmtId="0">
      <sharedItems containsSemiMixedTypes="0" containsString="0" containsNumber="1" containsInteger="1" minValue="10200" maxValue="28000"/>
    </cacheField>
    <cacheField name="Profit/Loss" numFmtId="0">
      <sharedItems containsSemiMixedTypes="0" containsString="0" containsNumber="1" containsInteger="1" minValue="-400" maxValue="3000"/>
    </cacheField>
    <cacheField name="ROI %" numFmtId="9">
      <sharedItems containsSemiMixedTypes="0" containsString="0" containsNumber="1" minValue="-3.3333333333333335" maxValue="12"/>
    </cacheField>
  </cacheFields>
  <extLst>
    <ext xmlns:x14="http://schemas.microsoft.com/office/spreadsheetml/2009/9/main" uri="{725AE2AE-9491-48be-B2B4-4EB974FC3084}">
      <x14:pivotCacheDefinition pivotCacheId="2591098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d v="2024-01-01T00:00:00"/>
    <n v="2500"/>
    <n v="10"/>
    <n v="2800"/>
    <n v="25000"/>
    <n v="28000"/>
    <n v="3000"/>
    <n v="12"/>
  </r>
  <r>
    <x v="1"/>
    <x v="1"/>
    <d v="2024-02-15T00:00:00"/>
    <n v="3500"/>
    <n v="5"/>
    <n v="3700"/>
    <n v="17500"/>
    <n v="18500"/>
    <n v="1000"/>
    <n v="5.7142857142857144"/>
  </r>
  <r>
    <x v="2"/>
    <x v="1"/>
    <d v="2024-03-10T00:00:00"/>
    <n v="1500"/>
    <n v="8"/>
    <n v="1450"/>
    <n v="12000"/>
    <n v="11600"/>
    <n v="-400"/>
    <n v="-3.3333333333333335"/>
  </r>
  <r>
    <x v="3"/>
    <x v="2"/>
    <d v="2024-01-05T00:00:00"/>
    <n v="1600"/>
    <n v="6"/>
    <n v="1700"/>
    <n v="9600"/>
    <n v="10200"/>
    <n v="600"/>
    <n v="6.25"/>
  </r>
  <r>
    <x v="4"/>
    <x v="2"/>
    <d v="2024-02-20T00:00:00"/>
    <n v="900"/>
    <n v="12"/>
    <n v="950"/>
    <n v="10800"/>
    <n v="11400"/>
    <n v="600"/>
    <n v="5.55555555555555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ECC7C7-7474-4461-A1D2-F657F9628C4A}"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Sector">
  <location ref="A3:C7" firstHeaderRow="0" firstDataRow="1" firstDataCol="1"/>
  <pivotFields count="10">
    <pivotField axis="axisRow" showAll="0" sortType="descending">
      <items count="6">
        <item x="3"/>
        <item x="4"/>
        <item x="2"/>
        <item x="0"/>
        <item x="1"/>
        <item t="default"/>
      </items>
      <autoSortScope>
        <pivotArea dataOnly="0" outline="0" fieldPosition="0">
          <references count="1">
            <reference field="4294967294" count="1" selected="0">
              <x v="0"/>
            </reference>
          </references>
        </pivotArea>
      </autoSortScope>
    </pivotField>
    <pivotField axis="axisRow" showAll="0" sortType="descending">
      <items count="4">
        <item sd="0" x="2"/>
        <item sd="0" x="0"/>
        <item sd="0" x="1"/>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dataField="1" showAll="0"/>
    <pivotField showAll="0"/>
    <pivotField dataField="1" showAll="0"/>
    <pivotField numFmtId="9" showAll="0"/>
  </pivotFields>
  <rowFields count="2">
    <field x="1"/>
    <field x="0"/>
  </rowFields>
  <rowItems count="4">
    <i>
      <x v="1"/>
    </i>
    <i>
      <x/>
    </i>
    <i>
      <x v="2"/>
    </i>
    <i t="grand">
      <x/>
    </i>
  </rowItems>
  <colFields count="1">
    <field x="-2"/>
  </colFields>
  <colItems count="2">
    <i>
      <x/>
    </i>
    <i i="1">
      <x v="1"/>
    </i>
  </colItems>
  <dataFields count="2">
    <dataField name="Total Profit" fld="8" baseField="0" baseItem="0"/>
    <dataField name="Total Investment" fld="6" baseField="0" baseItem="0"/>
  </dataFields>
  <formats count="1">
    <format dxfId="4">
      <pivotArea outline="0" collapsedLevelsAreSubtotals="1" fieldPosition="0"/>
    </format>
  </format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 count="1" selected="0">
            <x v="1"/>
          </reference>
        </references>
      </pivotArea>
    </chartFormat>
    <chartFormat chart="13" format="12">
      <pivotArea type="data" outline="0" fieldPosition="0">
        <references count="2">
          <reference field="4294967294" count="1" selected="0">
            <x v="0"/>
          </reference>
          <reference field="1" count="1" selected="0">
            <x v="0"/>
          </reference>
        </references>
      </pivotArea>
    </chartFormat>
    <chartFormat chart="13" format="13">
      <pivotArea type="data" outline="0" fieldPosition="0">
        <references count="2">
          <reference field="4294967294" count="1" selected="0">
            <x v="0"/>
          </reference>
          <reference field="1" count="1" selected="0">
            <x v="2"/>
          </reference>
        </references>
      </pivotArea>
    </chartFormat>
    <chartFormat chart="13" format="14" series="1">
      <pivotArea type="data" outline="0" fieldPosition="0">
        <references count="1">
          <reference field="4294967294" count="1" selected="0">
            <x v="1"/>
          </reference>
        </references>
      </pivotArea>
    </chartFormat>
    <chartFormat chart="13" format="15">
      <pivotArea type="data" outline="0" fieldPosition="0">
        <references count="2">
          <reference field="4294967294" count="1" selected="0">
            <x v="1"/>
          </reference>
          <reference field="1" count="1" selected="0">
            <x v="1"/>
          </reference>
        </references>
      </pivotArea>
    </chartFormat>
    <chartFormat chart="13" format="16">
      <pivotArea type="data" outline="0" fieldPosition="0">
        <references count="2">
          <reference field="4294967294" count="1" selected="0">
            <x v="1"/>
          </reference>
          <reference field="1" count="1" selected="0">
            <x v="0"/>
          </reference>
        </references>
      </pivotArea>
    </chartFormat>
    <chartFormat chart="13" format="17">
      <pivotArea type="data" outline="0" fieldPosition="0">
        <references count="2">
          <reference field="4294967294" count="1" selected="0">
            <x v="1"/>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Name" xr10:uid="{61006835-EAE0-41C7-B6F8-FCCA42FA58B2}" sourceName="Stock Name">
  <pivotTables>
    <pivotTable tabId="2" name="PivotTable1"/>
  </pivotTables>
  <data>
    <tabular pivotCacheId="259109827">
      <items count="5">
        <i x="3" s="1"/>
        <i x="4"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3425131A-F516-4237-A82C-B84BAB83EF3F}" sourceName="Sector">
  <pivotTables>
    <pivotTable tabId="2" name="PivotTable1"/>
  </pivotTables>
  <data>
    <tabular pivotCacheId="25910982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ck Name" xr10:uid="{F2C905B9-9F1C-407B-BEE2-53058DF20430}" cache="Slicer_Stock_Name" caption="Stock Name" style="SlicerStyleLight5" rowHeight="234950"/>
  <slicer name="Sector" xr10:uid="{E6643A3A-7C28-4657-8BA0-C0A94D492FA3}" cache="Slicer_Sector" caption="Sector" style="SlicerStyleLight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ck Name 1" xr10:uid="{7111E1F0-77F4-4871-9F6B-0BDF5F7D09C6}" cache="Slicer_Stock_Name" caption="Stock Name" style="SlicerStyleLight5" rowHeight="234950"/>
  <slicer name="Sector 1" xr10:uid="{169671CB-115C-4DB3-8C36-61531A36F0C6}" cache="Slicer_Sector" caption="Sector"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4A5237-A2B9-4439-851F-B64F6A4BAD13}" name="PortfolioTable" displayName="PortfolioTable" ref="A1:J6" totalsRowShown="0" headerRowDxfId="9">
  <autoFilter ref="A1:J6" xr:uid="{944A5237-A2B9-4439-851F-B64F6A4BAD13}"/>
  <tableColumns count="10">
    <tableColumn id="1" xr3:uid="{913AFE59-699A-42A2-8DC2-D29E8B457D68}" name="Stock Name"/>
    <tableColumn id="2" xr3:uid="{E6F9E2CD-30C2-4A56-B363-A41F9D190ACF}" name="Sector"/>
    <tableColumn id="3" xr3:uid="{1F3EDE13-49FE-4FDA-BCC5-B8DC63B7AB43}" name="Buy Date" dataDxfId="8"/>
    <tableColumn id="4" xr3:uid="{6AF4B226-D868-4ECC-A124-E1048B102190}" name="Buy price"/>
    <tableColumn id="5" xr3:uid="{4BB059CF-EBCB-49B6-859E-FC9C897A7F13}" name="Quantity"/>
    <tableColumn id="6" xr3:uid="{81531B2B-398A-406C-9859-D6AC6DE00ABB}" name="Current price"/>
    <tableColumn id="7" xr3:uid="{8A7684F3-509E-4D5B-9D46-8F9F349984E0}" name="Investment Value" dataDxfId="7">
      <calculatedColumnFormula>D2*E2</calculatedColumnFormula>
    </tableColumn>
    <tableColumn id="8" xr3:uid="{3156FC09-FF9B-4484-A9E6-7A80C253E6E1}" name="Current Value" dataDxfId="6">
      <calculatedColumnFormula>F2*E2</calculatedColumnFormula>
    </tableColumn>
    <tableColumn id="9" xr3:uid="{6F04C470-55DC-4750-B46F-4F966EEE2C4E}" name="Profit/Loss" dataDxfId="5">
      <calculatedColumnFormula>H2-G2</calculatedColumnFormula>
    </tableColumn>
    <tableColumn id="10" xr3:uid="{90182DF4-D7BC-4B14-9279-7B53896FF4D8}" name="ROI %" dataCellStyle="Percent">
      <calculatedColumnFormula>(I2/G2)*100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ED5BE-6EC4-4C68-AE87-AF0F6E3D4895}">
  <dimension ref="A1:M6"/>
  <sheetViews>
    <sheetView workbookViewId="0">
      <selection activeCell="L2" sqref="L2:M5"/>
    </sheetView>
  </sheetViews>
  <sheetFormatPr defaultRowHeight="14.4" x14ac:dyDescent="0.3"/>
  <cols>
    <col min="1" max="1" width="13" customWidth="1"/>
    <col min="3" max="3" width="10.44140625" customWidth="1"/>
    <col min="4" max="4" width="10.6640625" customWidth="1"/>
    <col min="5" max="5" width="10.21875" customWidth="1"/>
    <col min="6" max="6" width="13.77734375" customWidth="1"/>
    <col min="12" max="12" width="19.5546875" bestFit="1" customWidth="1"/>
  </cols>
  <sheetData>
    <row r="1" spans="1:13" ht="15" thickBot="1" x14ac:dyDescent="0.35">
      <c r="A1" s="1" t="s">
        <v>0</v>
      </c>
      <c r="B1" s="1" t="s">
        <v>1</v>
      </c>
      <c r="C1" s="1" t="s">
        <v>2</v>
      </c>
      <c r="D1" s="1" t="s">
        <v>3</v>
      </c>
      <c r="E1" s="1" t="s">
        <v>4</v>
      </c>
      <c r="F1" s="1" t="s">
        <v>5</v>
      </c>
      <c r="G1" s="1" t="s">
        <v>14</v>
      </c>
      <c r="H1" s="1" t="s">
        <v>15</v>
      </c>
      <c r="I1" s="1" t="s">
        <v>16</v>
      </c>
      <c r="J1" s="3" t="s">
        <v>17</v>
      </c>
    </row>
    <row r="2" spans="1:13" ht="15.6" x14ac:dyDescent="0.3">
      <c r="A2" t="s">
        <v>6</v>
      </c>
      <c r="B2" t="s">
        <v>11</v>
      </c>
      <c r="C2" s="2">
        <v>45292</v>
      </c>
      <c r="D2">
        <v>2500</v>
      </c>
      <c r="E2">
        <v>10</v>
      </c>
      <c r="F2">
        <v>2800</v>
      </c>
      <c r="G2">
        <f t="shared" ref="G2:G6" si="0">D2*E2</f>
        <v>25000</v>
      </c>
      <c r="H2">
        <f t="shared" ref="H2:H6" si="1">F2*E2</f>
        <v>28000</v>
      </c>
      <c r="I2">
        <f t="shared" ref="I2:I6" si="2">H2-G2</f>
        <v>3000</v>
      </c>
      <c r="J2" s="4">
        <f t="shared" ref="J2:J6" si="3">(I2/G2)*100</f>
        <v>12</v>
      </c>
      <c r="L2" s="5" t="s">
        <v>18</v>
      </c>
      <c r="M2" s="6">
        <f>SUM(G:G)</f>
        <v>74900</v>
      </c>
    </row>
    <row r="3" spans="1:13" ht="15.6" x14ac:dyDescent="0.3">
      <c r="A3" t="s">
        <v>7</v>
      </c>
      <c r="B3" t="s">
        <v>12</v>
      </c>
      <c r="C3" s="2">
        <v>45337</v>
      </c>
      <c r="D3">
        <v>3500</v>
      </c>
      <c r="E3">
        <v>5</v>
      </c>
      <c r="F3">
        <v>3700</v>
      </c>
      <c r="G3">
        <f t="shared" si="0"/>
        <v>17500</v>
      </c>
      <c r="H3">
        <f t="shared" si="1"/>
        <v>18500</v>
      </c>
      <c r="I3">
        <f t="shared" si="2"/>
        <v>1000</v>
      </c>
      <c r="J3" s="4">
        <f t="shared" si="3"/>
        <v>5.7142857142857144</v>
      </c>
      <c r="L3" s="7" t="s">
        <v>19</v>
      </c>
      <c r="M3" s="8">
        <f>SUM(H:H)</f>
        <v>79700</v>
      </c>
    </row>
    <row r="4" spans="1:13" ht="15.6" x14ac:dyDescent="0.3">
      <c r="A4" t="s">
        <v>8</v>
      </c>
      <c r="B4" t="s">
        <v>12</v>
      </c>
      <c r="C4" s="2">
        <v>45361</v>
      </c>
      <c r="D4">
        <v>1500</v>
      </c>
      <c r="E4">
        <v>8</v>
      </c>
      <c r="F4">
        <v>1450</v>
      </c>
      <c r="G4">
        <f t="shared" si="0"/>
        <v>12000</v>
      </c>
      <c r="H4">
        <f t="shared" si="1"/>
        <v>11600</v>
      </c>
      <c r="I4">
        <f t="shared" si="2"/>
        <v>-400</v>
      </c>
      <c r="J4" s="4">
        <f t="shared" si="3"/>
        <v>-3.3333333333333335</v>
      </c>
      <c r="L4" s="7" t="s">
        <v>20</v>
      </c>
      <c r="M4" s="8">
        <f>SUM(I:I)</f>
        <v>4800</v>
      </c>
    </row>
    <row r="5" spans="1:13" ht="16.2" thickBot="1" x14ac:dyDescent="0.35">
      <c r="A5" t="s">
        <v>9</v>
      </c>
      <c r="B5" t="s">
        <v>13</v>
      </c>
      <c r="C5" s="2">
        <v>45296</v>
      </c>
      <c r="D5">
        <v>1600</v>
      </c>
      <c r="E5">
        <v>6</v>
      </c>
      <c r="F5">
        <v>1700</v>
      </c>
      <c r="G5">
        <f t="shared" si="0"/>
        <v>9600</v>
      </c>
      <c r="H5">
        <f t="shared" si="1"/>
        <v>10200</v>
      </c>
      <c r="I5">
        <f t="shared" si="2"/>
        <v>600</v>
      </c>
      <c r="J5" s="4">
        <f t="shared" si="3"/>
        <v>6.25</v>
      </c>
      <c r="L5" s="9" t="s">
        <v>21</v>
      </c>
      <c r="M5" s="10">
        <f>M4/M2</f>
        <v>6.4085447263017362E-2</v>
      </c>
    </row>
    <row r="6" spans="1:13" x14ac:dyDescent="0.3">
      <c r="A6" t="s">
        <v>10</v>
      </c>
      <c r="B6" t="s">
        <v>13</v>
      </c>
      <c r="C6" s="2">
        <v>45342</v>
      </c>
      <c r="D6">
        <v>900</v>
      </c>
      <c r="E6">
        <v>12</v>
      </c>
      <c r="F6">
        <v>950</v>
      </c>
      <c r="G6">
        <f t="shared" si="0"/>
        <v>10800</v>
      </c>
      <c r="H6">
        <f t="shared" si="1"/>
        <v>11400</v>
      </c>
      <c r="I6">
        <f t="shared" si="2"/>
        <v>600</v>
      </c>
      <c r="J6" s="4">
        <f t="shared" si="3"/>
        <v>5.5555555555555554</v>
      </c>
    </row>
  </sheetData>
  <conditionalFormatting sqref="I1:I1048576">
    <cfRule type="dataBar" priority="1">
      <dataBar>
        <cfvo type="min"/>
        <cfvo type="max"/>
        <color rgb="FF63C384"/>
      </dataBar>
      <extLst>
        <ext xmlns:x14="http://schemas.microsoft.com/office/spreadsheetml/2009/9/main" uri="{B025F937-C7B1-47D3-B67F-A62EFF666E3E}">
          <x14:id>{08EEA97F-7A59-4915-BF82-93D61E096373}</x14:id>
        </ext>
      </extLst>
    </cfRule>
    <cfRule type="cellIs" dxfId="3" priority="4" operator="lessThan">
      <formula>0</formula>
    </cfRule>
    <cfRule type="cellIs" dxfId="2" priority="5" operator="greaterThan">
      <formula>0</formula>
    </cfRule>
  </conditionalFormatting>
  <conditionalFormatting sqref="J1:J1048576">
    <cfRule type="cellIs" dxfId="1" priority="2" operator="lessThan">
      <formula>0</formula>
    </cfRule>
    <cfRule type="cellIs" dxfId="0" priority="3" operator="greaterThan">
      <formula>0</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8EEA97F-7A59-4915-BF82-93D61E096373}">
            <x14:dataBar minLength="0" maxLength="100" gradient="0">
              <x14:cfvo type="autoMin"/>
              <x14:cfvo type="autoMax"/>
              <x14:negativeFillColor rgb="FFFF0000"/>
              <x14:axisColor rgb="FF000000"/>
            </x14:dataBar>
          </x14:cfRule>
          <xm:sqref>I1:I1048576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FCF12-ED82-4B39-A9B2-BCEE7403B67E}">
  <dimension ref="A3:C7"/>
  <sheetViews>
    <sheetView topLeftCell="A3" workbookViewId="0">
      <selection activeCell="P11" sqref="P11"/>
    </sheetView>
  </sheetViews>
  <sheetFormatPr defaultRowHeight="14.4" x14ac:dyDescent="0.3"/>
  <cols>
    <col min="1" max="1" width="10.77734375" bestFit="1" customWidth="1"/>
    <col min="2" max="2" width="10.33203125" bestFit="1" customWidth="1"/>
    <col min="3" max="3" width="15.33203125" bestFit="1" customWidth="1"/>
  </cols>
  <sheetData>
    <row r="3" spans="1:3" x14ac:dyDescent="0.3">
      <c r="A3" s="11" t="s">
        <v>1</v>
      </c>
      <c r="B3" t="s">
        <v>20</v>
      </c>
      <c r="C3" t="s">
        <v>18</v>
      </c>
    </row>
    <row r="4" spans="1:3" x14ac:dyDescent="0.3">
      <c r="A4" s="12" t="s">
        <v>11</v>
      </c>
      <c r="B4" s="13">
        <v>3000</v>
      </c>
      <c r="C4" s="13">
        <v>25000</v>
      </c>
    </row>
    <row r="5" spans="1:3" x14ac:dyDescent="0.3">
      <c r="A5" s="12" t="s">
        <v>13</v>
      </c>
      <c r="B5" s="13">
        <v>1200</v>
      </c>
      <c r="C5" s="13">
        <v>20400</v>
      </c>
    </row>
    <row r="6" spans="1:3" x14ac:dyDescent="0.3">
      <c r="A6" s="12" t="s">
        <v>12</v>
      </c>
      <c r="B6" s="13">
        <v>600</v>
      </c>
      <c r="C6" s="13">
        <v>29500</v>
      </c>
    </row>
    <row r="7" spans="1:3" x14ac:dyDescent="0.3">
      <c r="A7" s="12" t="s">
        <v>22</v>
      </c>
      <c r="B7" s="13">
        <v>4800</v>
      </c>
      <c r="C7" s="13">
        <v>74900</v>
      </c>
    </row>
  </sheetData>
  <sortState xmlns:xlrd2="http://schemas.microsoft.com/office/spreadsheetml/2017/richdata2" ref="A3:C12">
    <sortCondition descending="1" ref="C3"/>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7567F-6F2A-4EBC-945E-612968402EB4}">
  <dimension ref="A1:J9"/>
  <sheetViews>
    <sheetView showGridLines="0" tabSelected="1" zoomScale="79" workbookViewId="0">
      <selection activeCell="V16" sqref="V16"/>
    </sheetView>
  </sheetViews>
  <sheetFormatPr defaultRowHeight="14.4" x14ac:dyDescent="0.3"/>
  <cols>
    <col min="1" max="1" width="19.5546875" bestFit="1" customWidth="1"/>
    <col min="2" max="4" width="6.5546875" bestFit="1" customWidth="1"/>
  </cols>
  <sheetData>
    <row r="1" spans="1:10" ht="23.4" x14ac:dyDescent="0.45">
      <c r="E1" s="15" t="s">
        <v>23</v>
      </c>
      <c r="F1" s="16"/>
      <c r="G1" s="16"/>
      <c r="H1" s="16"/>
      <c r="I1" s="16"/>
      <c r="J1" s="16"/>
    </row>
    <row r="3" spans="1:10" x14ac:dyDescent="0.3">
      <c r="B3" s="14"/>
    </row>
    <row r="5" spans="1:10" ht="15" thickBot="1" x14ac:dyDescent="0.35">
      <c r="C5" s="17"/>
    </row>
    <row r="6" spans="1:10" ht="15.6" x14ac:dyDescent="0.3">
      <c r="A6" s="18" t="s">
        <v>18</v>
      </c>
      <c r="B6" s="19">
        <v>74900</v>
      </c>
    </row>
    <row r="7" spans="1:10" ht="15.6" x14ac:dyDescent="0.3">
      <c r="A7" s="20" t="s">
        <v>19</v>
      </c>
      <c r="B7" s="21">
        <v>79700</v>
      </c>
    </row>
    <row r="8" spans="1:10" ht="15.6" x14ac:dyDescent="0.3">
      <c r="A8" s="20" t="s">
        <v>20</v>
      </c>
      <c r="B8" s="21">
        <v>4800</v>
      </c>
    </row>
    <row r="9" spans="1:10" ht="16.2" thickBot="1" x14ac:dyDescent="0.35">
      <c r="A9" s="22" t="s">
        <v>21</v>
      </c>
      <c r="B9" s="23">
        <f>B8/B6</f>
        <v>6.4085447263017362E-2</v>
      </c>
    </row>
  </sheetData>
  <mergeCells count="1">
    <mergeCell ref="E1:J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Portfolio data</vt:lpstr>
      <vt:lpstr>Pivot Analysis</vt:lpstr>
      <vt:lpstr>Dashboarding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Meghana Narala</dc:creator>
  <cp:lastModifiedBy>Meghana Narala</cp:lastModifiedBy>
  <dcterms:created xsi:type="dcterms:W3CDTF">2026-04-13T14:16:01Z</dcterms:created>
  <dcterms:modified xsi:type="dcterms:W3CDTF">2026-04-13T16:49:09Z</dcterms:modified>
</cp:coreProperties>
</file>